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al Limits" sheetId="1" state="visible" r:id="rId3"/>
    <sheet name="Firmware" sheetId="2" state="visible" r:id="rId4"/>
  </sheets>
  <definedNames>
    <definedName function="false" hidden="true" localSheetId="0" name="_xlnm._FilterDatabase" vbProcedure="false">'Environmental Limits'!$A$1:$K$13</definedName>
    <definedName function="false" hidden="true" localSheetId="1" name="_xlnm._FilterDatabase" vbProcedure="false">Firmware!$A$1:$C$46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<sst xmlns="http://schemas.openxmlformats.org/spreadsheetml/2006/main" count="253" uniqueCount="116">
  <si>
    <t xml:space="preserve">Aircraft</t>
  </si>
  <si>
    <t xml:space="preserve">Max Sustained Wind (m/s)</t>
  </si>
  <si>
    <t xml:space="preserve">Max Sustained Wind (mph)</t>
  </si>
  <si>
    <t xml:space="preserve">Max Wind Gust</t>
  </si>
  <si>
    <t xml:space="preserve">Operating Temp (°C)</t>
  </si>
  <si>
    <t xml:space="preserve">Operating Temp (°F)</t>
  </si>
  <si>
    <t xml:space="preserve">IP Rating</t>
  </si>
  <si>
    <t xml:space="preserve">Max Takeoff Alt MSL (m)</t>
  </si>
  <si>
    <t xml:space="preserve">Max Takeoff Alt MSL (ft)</t>
  </si>
  <si>
    <t xml:space="preserve">Kp Index Tolerance</t>
  </si>
  <si>
    <t xml:space="preserve">Notes / Source</t>
  </si>
  <si>
    <t xml:space="preserve">Matrice 350 RTK</t>
  </si>
  <si>
    <t xml:space="preserve">Not published</t>
  </si>
  <si>
    <t xml:space="preserve">-20 to 50</t>
  </si>
  <si>
    <t xml:space="preserve">IP55</t>
  </si>
  <si>
    <t xml:space="preserve">5000 (2110 props) / 7000 (2112 high-alt props)</t>
  </si>
  <si>
    <t xml:space="preserve">16,404 / 22,966</t>
  </si>
  <si>
    <t xml:space="preserve">No published spec (see legend)</t>
  </si>
  <si>
    <t xml:space="preserve">enterprise.dji.com/matrice-350-rtk/specs</t>
  </si>
  <si>
    <t xml:space="preserve">Matrice 300 RTK</t>
  </si>
  <si>
    <t xml:space="preserve">IP45</t>
  </si>
  <si>
    <t xml:space="preserve">5000 (2110 props) / 7000 (2195 high-alt props)</t>
  </si>
  <si>
    <t xml:space="preserve">dji.com/matrice-300/specs. 12 m/s during takeoff/landing</t>
  </si>
  <si>
    <t xml:space="preserve">Matrice 400</t>
  </si>
  <si>
    <t xml:space="preserve">7000 (standard 2510F props)</t>
  </si>
  <si>
    <t xml:space="preserve">22,966</t>
  </si>
  <si>
    <t xml:space="preserve">enterprise.dji.com/matrice-400/specs. Rain limit 100 mm/24 h</t>
  </si>
  <si>
    <t xml:space="preserve">Matrice 30 / 30T</t>
  </si>
  <si>
    <t xml:space="preserve">7000</t>
  </si>
  <si>
    <t xml:space="preserve">enterprise.dji.com/matrice-30/specs. 12 m/s during takeoff/landing</t>
  </si>
  <si>
    <t xml:space="preserve">Matrice 4E / 4T</t>
  </si>
  <si>
    <t xml:space="preserve">-10 to 40</t>
  </si>
  <si>
    <t xml:space="preserve">None</t>
  </si>
  <si>
    <t xml:space="preserve">6000 (4000 with payload/accessories)</t>
  </si>
  <si>
    <t xml:space="preserve">19,685 / 13,123</t>
  </si>
  <si>
    <t xml:space="preserve">enterprise.dji.com/matrice-4-series/specs. Gimbal/camera: no IP rating</t>
  </si>
  <si>
    <t xml:space="preserve">Matrice 4D / 4TD</t>
  </si>
  <si>
    <t xml:space="preserve">4000</t>
  </si>
  <si>
    <t xml:space="preserve">13,123</t>
  </si>
  <si>
    <t xml:space="preserve">enterprise.dji.com/dock-3 specs. 12 m/s both in-flight and takeoff/landing; anti-ice props standard</t>
  </si>
  <si>
    <t xml:space="preserve">Mavic 3E / 3T (Enterprise Series)</t>
  </si>
  <si>
    <t xml:space="preserve">6000</t>
  </si>
  <si>
    <t xml:space="preserve">19,685</t>
  </si>
  <si>
    <t xml:space="preserve">enterprise.dji.com/mavic-3-enterprise/specs</t>
  </si>
  <si>
    <t xml:space="preserve">Mavic 3TA</t>
  </si>
  <si>
    <t xml:space="preserve">Same airframe as Mavic 3E/3T; enterprise.dji.com/mavic-3-enterprise/specs</t>
  </si>
  <si>
    <t xml:space="preserve">Mavic 3M</t>
  </si>
  <si>
    <t xml:space="preserve">enterprise.dji.com/mavic-3-m/specs</t>
  </si>
  <si>
    <t xml:space="preserve">DJI Mini 4 Pro</t>
  </si>
  <si>
    <t xml:space="preserve">dji.com/mini-4-pro/specs. 10.7 m/s = Beaufort Level 5</t>
  </si>
  <si>
    <t xml:space="preserve">DJI Mini 3 Pro</t>
  </si>
  <si>
    <t xml:space="preserve">dji.com/mini-3-pro/specs. 10.7 m/s = Beaufort Level 5</t>
  </si>
  <si>
    <t xml:space="preserve">DJI Mini 3</t>
  </si>
  <si>
    <t xml:space="preserve">dji.com/mini-3/specs. 10.7 m/s = Beaufort Level 5</t>
  </si>
  <si>
    <t xml:space="preserve">LEGEND / ASSUMPTIONS</t>
  </si>
  <si>
    <t xml:space="preserve">Wind: DJI publishes a single 'Max Wind Speed Resistance' figure, typically qualified as 'during takeoff and landing'. DJI does not publish a separate gust rating for any model; 'Not published' is accurate, not missing data.</t>
  </si>
  <si>
    <t xml:space="preserve">Kp index: DJI publishes no per-model Kp tolerance. DJI Pilot 2 / DJI Fly raise a 'high solar activity' warning at Kp ≥ 5. Practical planning assumption: Kp ≤ 4 for GNSS/RTK-dependent work; treat Kp 5+ as degraded positioning.</t>
  </si>
  <si>
    <t xml:space="preserve">IP ratings are DJI-stated, tested in lab conditions, and degrade with wear. 'None' = no standard protection level published.</t>
  </si>
  <si>
    <t xml:space="preserve">Operating temp excludes solar radiation loading and battery charging limits (batteries generally 5–40 °C).</t>
  </si>
  <si>
    <t xml:space="preserve">Takeoff altitude is density-altitude sensitive; payload-loaded ceilings are lower (see Notes column).</t>
  </si>
  <si>
    <t xml:space="preserve">mph and °F columns are formulas computed from the m/s and °C columns.</t>
  </si>
  <si>
    <t xml:space="preserve">Controllers, D-RTK 2, Manifold 3 and Zenmuse payloads are not aircraft and are omitted from this sheet; their firmware is on the Firmware sheet.</t>
  </si>
  <si>
    <t xml:space="preserve">Platform / Bundle</t>
  </si>
  <si>
    <t xml:space="preserve">Component</t>
  </si>
  <si>
    <t xml:space="preserve">Firmware Version</t>
  </si>
  <si>
    <t xml:space="preserve">14.01.00.17</t>
  </si>
  <si>
    <t xml:space="preserve">DJI RC Plus</t>
  </si>
  <si>
    <t xml:space="preserve">05.02.11.11</t>
  </si>
  <si>
    <t xml:space="preserve">D-RTK 2 Mobile Station for Matrice</t>
  </si>
  <si>
    <t xml:space="preserve">03.01.00.00</t>
  </si>
  <si>
    <t xml:space="preserve">Zenmuse H20 Series</t>
  </si>
  <si>
    <t xml:space="preserve">07.00.01.05</t>
  </si>
  <si>
    <t xml:space="preserve">Zenmuse H30 Series</t>
  </si>
  <si>
    <t xml:space="preserve">10.06.01.06</t>
  </si>
  <si>
    <t xml:space="preserve">Zenmuse P1</t>
  </si>
  <si>
    <t xml:space="preserve">10.01.02.01</t>
  </si>
  <si>
    <t xml:space="preserve">Zenmuse L1</t>
  </si>
  <si>
    <t xml:space="preserve">07.00.01.10</t>
  </si>
  <si>
    <t xml:space="preserve">Zenmuse L2</t>
  </si>
  <si>
    <t xml:space="preserve">06.00.01.04</t>
  </si>
  <si>
    <t xml:space="preserve">Matrice 300 RTK (DJI RC Plus)</t>
  </si>
  <si>
    <t xml:space="preserve">64.01.00.04</t>
  </si>
  <si>
    <t xml:space="preserve">Matrice 300 RTK (DJI Smart Controller Enterprise)</t>
  </si>
  <si>
    <t xml:space="preserve">10.01.08.01</t>
  </si>
  <si>
    <t xml:space="preserve">DJI Smart Controller Enterprise</t>
  </si>
  <si>
    <t xml:space="preserve">09.00.05.01</t>
  </si>
  <si>
    <t xml:space="preserve">01.00.1100</t>
  </si>
  <si>
    <t xml:space="preserve">DJI RC N2</t>
  </si>
  <si>
    <t xml:space="preserve">01.01.0300</t>
  </si>
  <si>
    <t xml:space="preserve">DJI RC N3</t>
  </si>
  <si>
    <t xml:space="preserve">01.00.05.00</t>
  </si>
  <si>
    <t xml:space="preserve">DJI RC N1</t>
  </si>
  <si>
    <t xml:space="preserve">04.16.05.00</t>
  </si>
  <si>
    <t xml:space="preserve">01.00.09.00</t>
  </si>
  <si>
    <t xml:space="preserve">04.14.07.00</t>
  </si>
  <si>
    <t xml:space="preserve">DJI RC Pro</t>
  </si>
  <si>
    <t xml:space="preserve">03.02.09.00</t>
  </si>
  <si>
    <t xml:space="preserve">DJI Mavic 3 Enterprise Series</t>
  </si>
  <si>
    <t xml:space="preserve">17.01.05.08</t>
  </si>
  <si>
    <t xml:space="preserve">DJI RC Pro Enterprise</t>
  </si>
  <si>
    <t xml:space="preserve">02.01.08.04</t>
  </si>
  <si>
    <t xml:space="preserve">DJI Mavic 3M</t>
  </si>
  <si>
    <t xml:space="preserve">DJI Mavic 3TA</t>
  </si>
  <si>
    <t xml:space="preserve">Matrice 30 Series</t>
  </si>
  <si>
    <t xml:space="preserve">14.03.01.10</t>
  </si>
  <si>
    <t xml:space="preserve">06.02.13.12</t>
  </si>
  <si>
    <t xml:space="preserve">Matrice 4E/4T</t>
  </si>
  <si>
    <t xml:space="preserve">17.01.05.16</t>
  </si>
  <si>
    <t xml:space="preserve">DJI RC Plus 2</t>
  </si>
  <si>
    <t xml:space="preserve">01.64.08.12</t>
  </si>
  <si>
    <t xml:space="preserve">Matrice 4D/4TD</t>
  </si>
  <si>
    <t xml:space="preserve">Manifold 3</t>
  </si>
  <si>
    <t xml:space="preserve">17.00.01.01</t>
  </si>
  <si>
    <t xml:space="preserve">17.01.05.25</t>
  </si>
  <si>
    <t xml:space="preserve">Zenmuse L3</t>
  </si>
  <si>
    <t xml:space="preserve">17.00.00.01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</si>
</sst>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55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n">
        <v>12</v>
      </c>
      <c r="C2" s="2" t="n">
        <f aca="false">ROUND(B2*2.23694,1)</f>
        <v>26.8</v>
      </c>
      <c r="D2" s="2" t="s">
        <v>12</v>
      </c>
      <c r="E2" s="2" t="s">
        <v>13</v>
      </c>
      <c r="F2" s="2" t="str">
        <f aca="false">ROUND((VALUE(LEFT(E2,FIND(" to",E2)-1))*9/5)+32,0)&amp;" to "&amp;ROUND((VALUE(MID(E2,FIND("to ",E2)+3,10))*9/5)+32,0)</f>
        <v>-4 to 122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customFormat="false" ht="23.85" hidden="false" customHeight="false" outlineLevel="0" collapsed="false">
      <c r="A3" s="2" t="s">
        <v>19</v>
      </c>
      <c r="B3" s="2" t="n">
        <v>15</v>
      </c>
      <c r="C3" s="2" t="n">
        <f aca="false">ROUND(B3*2.23694,1)</f>
        <v>33.6</v>
      </c>
      <c r="D3" s="2" t="s">
        <v>12</v>
      </c>
      <c r="E3" s="2" t="s">
        <v>13</v>
      </c>
      <c r="F3" s="2" t="str">
        <f aca="false">ROUND((VALUE(LEFT(E3,FIND(" to",E3)-1))*9/5)+32,0)&amp;" to "&amp;ROUND((VALUE(MID(E3,FIND("to ",E3)+3,10))*9/5)+32,0)</f>
        <v>-4 to 122</v>
      </c>
      <c r="G3" s="2" t="s">
        <v>20</v>
      </c>
      <c r="H3" s="2" t="s">
        <v>21</v>
      </c>
      <c r="I3" s="2" t="s">
        <v>16</v>
      </c>
      <c r="J3" s="2" t="s">
        <v>17</v>
      </c>
      <c r="K3" s="2" t="s">
        <v>22</v>
      </c>
    </row>
    <row r="4" customFormat="false" ht="23.85" hidden="false" customHeight="false" outlineLevel="0" collapsed="false">
      <c r="A4" s="2" t="s">
        <v>23</v>
      </c>
      <c r="B4" s="2" t="n">
        <v>12</v>
      </c>
      <c r="C4" s="2" t="n">
        <f aca="false">ROUND(B4*2.23694,1)</f>
        <v>26.8</v>
      </c>
      <c r="D4" s="2" t="s">
        <v>12</v>
      </c>
      <c r="E4" s="2" t="s">
        <v>13</v>
      </c>
      <c r="F4" s="2" t="str">
        <f aca="false">ROUND((VALUE(LEFT(E4,FIND(" to",E4)-1))*9/5)+32,0)&amp;" to "&amp;ROUND((VALUE(MID(E4,FIND("to ",E4)+3,10))*9/5)+32,0)</f>
        <v>-4 to 122</v>
      </c>
      <c r="G4" s="2" t="s">
        <v>14</v>
      </c>
      <c r="H4" s="2" t="s">
        <v>24</v>
      </c>
      <c r="I4" s="2" t="s">
        <v>25</v>
      </c>
      <c r="J4" s="2" t="s">
        <v>17</v>
      </c>
      <c r="K4" s="2" t="s">
        <v>26</v>
      </c>
    </row>
    <row r="5" customFormat="false" ht="23.85" hidden="false" customHeight="false" outlineLevel="0" collapsed="false">
      <c r="A5" s="2" t="s">
        <v>27</v>
      </c>
      <c r="B5" s="2" t="n">
        <v>15</v>
      </c>
      <c r="C5" s="2" t="n">
        <f aca="false">ROUND(B5*2.23694,1)</f>
        <v>33.6</v>
      </c>
      <c r="D5" s="2" t="s">
        <v>12</v>
      </c>
      <c r="E5" s="2" t="s">
        <v>13</v>
      </c>
      <c r="F5" s="2" t="str">
        <f aca="false">ROUND((VALUE(LEFT(E5,FIND(" to",E5)-1))*9/5)+32,0)&amp;" to "&amp;ROUND((VALUE(MID(E5,FIND("to ",E5)+3,10))*9/5)+32,0)</f>
        <v>-4 to 122</v>
      </c>
      <c r="G5" s="2" t="s">
        <v>14</v>
      </c>
      <c r="H5" s="2" t="s">
        <v>28</v>
      </c>
      <c r="I5" s="2" t="s">
        <v>25</v>
      </c>
      <c r="J5" s="2" t="s">
        <v>17</v>
      </c>
      <c r="K5" s="2" t="s">
        <v>29</v>
      </c>
    </row>
    <row r="6" customFormat="false" ht="23.85" hidden="false" customHeight="false" outlineLevel="0" collapsed="false">
      <c r="A6" s="2" t="s">
        <v>30</v>
      </c>
      <c r="B6" s="2" t="n">
        <v>12</v>
      </c>
      <c r="C6" s="2" t="n">
        <f aca="false">ROUND(B6*2.23694,1)</f>
        <v>26.8</v>
      </c>
      <c r="D6" s="2" t="s">
        <v>12</v>
      </c>
      <c r="E6" s="2" t="s">
        <v>31</v>
      </c>
      <c r="F6" s="2" t="str">
        <f aca="false">ROUND((VALUE(LEFT(E6,FIND(" to",E6)-1))*9/5)+32,0)&amp;" to "&amp;ROUND((VALUE(MID(E6,FIND("to ",E6)+3,10))*9/5)+32,0)</f>
        <v>14 to 104</v>
      </c>
      <c r="G6" s="2" t="s">
        <v>32</v>
      </c>
      <c r="H6" s="2" t="s">
        <v>33</v>
      </c>
      <c r="I6" s="2" t="s">
        <v>34</v>
      </c>
      <c r="J6" s="2" t="s">
        <v>17</v>
      </c>
      <c r="K6" s="2" t="s">
        <v>35</v>
      </c>
    </row>
    <row r="7" customFormat="false" ht="23.85" hidden="false" customHeight="false" outlineLevel="0" collapsed="false">
      <c r="A7" s="2" t="s">
        <v>36</v>
      </c>
      <c r="B7" s="2" t="n">
        <v>12</v>
      </c>
      <c r="C7" s="2" t="n">
        <f aca="false">ROUND(B7*2.23694,1)</f>
        <v>26.8</v>
      </c>
      <c r="D7" s="2" t="s">
        <v>12</v>
      </c>
      <c r="E7" s="2" t="s">
        <v>13</v>
      </c>
      <c r="F7" s="2" t="str">
        <f aca="false">ROUND((VALUE(LEFT(E7,FIND(" to",E7)-1))*9/5)+32,0)&amp;" to "&amp;ROUND((VALUE(MID(E7,FIND("to ",E7)+3,10))*9/5)+32,0)</f>
        <v>-4 to 122</v>
      </c>
      <c r="G7" s="2" t="s">
        <v>14</v>
      </c>
      <c r="H7" s="2" t="s">
        <v>37</v>
      </c>
      <c r="I7" s="2" t="s">
        <v>38</v>
      </c>
      <c r="J7" s="2" t="s">
        <v>17</v>
      </c>
      <c r="K7" s="2" t="s">
        <v>39</v>
      </c>
    </row>
    <row r="8" customFormat="false" ht="23.85" hidden="false" customHeight="false" outlineLevel="0" collapsed="false">
      <c r="A8" s="2" t="s">
        <v>40</v>
      </c>
      <c r="B8" s="2" t="n">
        <v>12</v>
      </c>
      <c r="C8" s="2" t="n">
        <f aca="false">ROUND(B8*2.23694,1)</f>
        <v>26.8</v>
      </c>
      <c r="D8" s="2" t="s">
        <v>12</v>
      </c>
      <c r="E8" s="2" t="s">
        <v>31</v>
      </c>
      <c r="F8" s="2" t="str">
        <f aca="false">ROUND((VALUE(LEFT(E8,FIND(" to",E8)-1))*9/5)+32,0)&amp;" to "&amp;ROUND((VALUE(MID(E8,FIND("to ",E8)+3,10))*9/5)+32,0)</f>
        <v>14 to 104</v>
      </c>
      <c r="G8" s="2" t="s">
        <v>32</v>
      </c>
      <c r="H8" s="2" t="s">
        <v>41</v>
      </c>
      <c r="I8" s="2" t="s">
        <v>42</v>
      </c>
      <c r="J8" s="2" t="s">
        <v>17</v>
      </c>
      <c r="K8" s="2" t="s">
        <v>43</v>
      </c>
    </row>
    <row r="9" customFormat="false" ht="23.85" hidden="false" customHeight="false" outlineLevel="0" collapsed="false">
      <c r="A9" s="2" t="s">
        <v>44</v>
      </c>
      <c r="B9" s="2" t="n">
        <v>12</v>
      </c>
      <c r="C9" s="2" t="n">
        <f aca="false">ROUND(B9*2.23694,1)</f>
        <v>26.8</v>
      </c>
      <c r="D9" s="2" t="s">
        <v>12</v>
      </c>
      <c r="E9" s="2" t="s">
        <v>31</v>
      </c>
      <c r="F9" s="2" t="str">
        <f aca="false">ROUND((VALUE(LEFT(E9,FIND(" to",E9)-1))*9/5)+32,0)&amp;" to "&amp;ROUND((VALUE(MID(E9,FIND("to ",E9)+3,10))*9/5)+32,0)</f>
        <v>14 to 104</v>
      </c>
      <c r="G9" s="2" t="s">
        <v>32</v>
      </c>
      <c r="H9" s="2" t="s">
        <v>41</v>
      </c>
      <c r="I9" s="2" t="s">
        <v>42</v>
      </c>
      <c r="J9" s="2" t="s">
        <v>17</v>
      </c>
      <c r="K9" s="2" t="s">
        <v>45</v>
      </c>
    </row>
    <row r="10" customFormat="false" ht="23.85" hidden="false" customHeight="false" outlineLevel="0" collapsed="false">
      <c r="A10" s="2" t="s">
        <v>46</v>
      </c>
      <c r="B10" s="2" t="n">
        <v>12</v>
      </c>
      <c r="C10" s="2" t="n">
        <f aca="false">ROUND(B10*2.23694,1)</f>
        <v>26.8</v>
      </c>
      <c r="D10" s="2" t="s">
        <v>12</v>
      </c>
      <c r="E10" s="2" t="s">
        <v>31</v>
      </c>
      <c r="F10" s="2" t="str">
        <f aca="false">ROUND((VALUE(LEFT(E10,FIND(" to",E10)-1))*9/5)+32,0)&amp;" to "&amp;ROUND((VALUE(MID(E10,FIND("to ",E10)+3,10))*9/5)+32,0)</f>
        <v>14 to 104</v>
      </c>
      <c r="G10" s="2" t="s">
        <v>32</v>
      </c>
      <c r="H10" s="2" t="s">
        <v>41</v>
      </c>
      <c r="I10" s="2" t="s">
        <v>42</v>
      </c>
      <c r="J10" s="2" t="s">
        <v>17</v>
      </c>
      <c r="K10" s="2" t="s">
        <v>47</v>
      </c>
    </row>
    <row r="11" customFormat="false" ht="23.85" hidden="false" customHeight="false" outlineLevel="0" collapsed="false">
      <c r="A11" s="2" t="s">
        <v>48</v>
      </c>
      <c r="B11" s="2" t="n">
        <v>10.7</v>
      </c>
      <c r="C11" s="2" t="n">
        <f aca="false">ROUND(B11*2.23694,1)</f>
        <v>23.9</v>
      </c>
      <c r="D11" s="2" t="s">
        <v>12</v>
      </c>
      <c r="E11" s="2" t="s">
        <v>31</v>
      </c>
      <c r="F11" s="2" t="str">
        <f aca="false">ROUND((VALUE(LEFT(E11,FIND(" to",E11)-1))*9/5)+32,0)&amp;" to "&amp;ROUND((VALUE(MID(E11,FIND("to ",E11)+3,10))*9/5)+32,0)</f>
        <v>14 to 104</v>
      </c>
      <c r="G11" s="2" t="s">
        <v>32</v>
      </c>
      <c r="H11" s="2" t="s">
        <v>37</v>
      </c>
      <c r="I11" s="2" t="s">
        <v>38</v>
      </c>
      <c r="J11" s="2" t="s">
        <v>17</v>
      </c>
      <c r="K11" s="2" t="s">
        <v>49</v>
      </c>
    </row>
    <row r="12" customFormat="false" ht="23.85" hidden="false" customHeight="false" outlineLevel="0" collapsed="false">
      <c r="A12" s="2" t="s">
        <v>50</v>
      </c>
      <c r="B12" s="2" t="n">
        <v>10.7</v>
      </c>
      <c r="C12" s="2" t="n">
        <f aca="false">ROUND(B12*2.23694,1)</f>
        <v>23.9</v>
      </c>
      <c r="D12" s="2" t="s">
        <v>12</v>
      </c>
      <c r="E12" s="2" t="s">
        <v>31</v>
      </c>
      <c r="F12" s="2" t="str">
        <f aca="false">ROUND((VALUE(LEFT(E12,FIND(" to",E12)-1))*9/5)+32,0)&amp;" to "&amp;ROUND((VALUE(MID(E12,FIND("to ",E12)+3,10))*9/5)+32,0)</f>
        <v>14 to 104</v>
      </c>
      <c r="G12" s="2" t="s">
        <v>32</v>
      </c>
      <c r="H12" s="2" t="s">
        <v>37</v>
      </c>
      <c r="I12" s="2" t="s">
        <v>38</v>
      </c>
      <c r="J12" s="2" t="s">
        <v>17</v>
      </c>
      <c r="K12" s="2" t="s">
        <v>51</v>
      </c>
    </row>
    <row r="13" customFormat="false" ht="23.85" hidden="false" customHeight="false" outlineLevel="0" collapsed="false">
      <c r="A13" s="2" t="s">
        <v>52</v>
      </c>
      <c r="B13" s="2" t="n">
        <v>10.7</v>
      </c>
      <c r="C13" s="2" t="n">
        <f aca="false">ROUND(B13*2.23694,1)</f>
        <v>23.9</v>
      </c>
      <c r="D13" s="2" t="s">
        <v>12</v>
      </c>
      <c r="E13" s="2" t="s">
        <v>31</v>
      </c>
      <c r="F13" s="2" t="str">
        <f aca="false">ROUND((VALUE(LEFT(E13,FIND(" to",E13)-1))*9/5)+32,0)&amp;" to "&amp;ROUND((VALUE(MID(E13,FIND("to ",E13)+3,10))*9/5)+32,0)</f>
        <v>14 to 104</v>
      </c>
      <c r="G13" s="2" t="s">
        <v>32</v>
      </c>
      <c r="H13" s="2" t="s">
        <v>37</v>
      </c>
      <c r="I13" s="2" t="s">
        <v>38</v>
      </c>
      <c r="J13" s="2" t="s">
        <v>17</v>
      </c>
      <c r="K13" s="2" t="s">
        <v>53</v>
      </c>
    </row>
    <row r="15" customFormat="false" ht="15.75" hidden="false" customHeight="true" outlineLevel="0" collapsed="false">
      <c r="A15" s="3" t="s">
        <v>54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30" hidden="false" customHeight="true" outlineLevel="0" collapsed="false">
      <c r="A16" s="4" t="s">
        <v>55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30" hidden="false" customHeight="true" outlineLevel="0" collapsed="false">
      <c r="A17" s="4" t="s">
        <v>56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30" hidden="false" customHeight="true" outlineLevel="0" collapsed="false">
      <c r="A18" s="4" t="s">
        <v>57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30" hidden="false" customHeight="true" outlineLevel="0" collapsed="false">
      <c r="A19" s="4" t="s">
        <v>58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customFormat="false" ht="30" hidden="false" customHeight="true" outlineLevel="0" collapsed="false">
      <c r="A20" s="4" t="s">
        <v>59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30" hidden="false" customHeight="true" outlineLevel="0" collapsed="false">
      <c r="A21" s="4" t="s">
        <v>60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30" hidden="false" customHeight="true" outlineLevel="0" collapsed="false">
      <c r="A22" s="4" t="s">
        <v>61</v>
      </c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autoFilter ref="A1:K13"/>
  <mergeCells count="8">
    <mergeCell ref="A15:K15"/>
    <mergeCell ref="A16:K16"/>
    <mergeCell ref="A17:K17"/>
    <mergeCell ref="A18:K18"/>
    <mergeCell ref="A19:K19"/>
    <mergeCell ref="A20:K20"/>
    <mergeCell ref="A21:K21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62</v>
      </c>
      <c r="B1" s="5" t="s">
        <v>63</v>
      </c>
      <c r="C1" s="5" t="s">
        <v>64</v>
      </c>
    </row>
    <row r="2" customFormat="false" ht="15" hidden="false" customHeight="false" outlineLevel="0" collapsed="false">
      <c r="A2" s="6" t="s">
        <v>11</v>
      </c>
      <c r="B2" s="6" t="s">
        <v>11</v>
      </c>
      <c r="C2" s="6" t="s">
        <v>65</v>
      </c>
    </row>
    <row r="3" customFormat="false" ht="15" hidden="false" customHeight="false" outlineLevel="0" collapsed="false">
      <c r="A3" s="6" t="s">
        <v>11</v>
      </c>
      <c r="B3" s="6" t="s">
        <v>66</v>
      </c>
      <c r="C3" s="6" t="s">
        <v>67</v>
      </c>
    </row>
    <row r="4" customFormat="false" ht="15" hidden="false" customHeight="false" outlineLevel="0" collapsed="false">
      <c r="A4" s="6" t="s">
        <v>11</v>
      </c>
      <c r="B4" s="6" t="s">
        <v>68</v>
      </c>
      <c r="C4" s="6" t="s">
        <v>69</v>
      </c>
    </row>
    <row r="5" customFormat="false" ht="15" hidden="false" customHeight="false" outlineLevel="0" collapsed="false">
      <c r="A5" s="6" t="s">
        <v>11</v>
      </c>
      <c r="B5" s="6" t="s">
        <v>70</v>
      </c>
      <c r="C5" s="6" t="s">
        <v>71</v>
      </c>
    </row>
    <row r="6" customFormat="false" ht="15" hidden="false" customHeight="false" outlineLevel="0" collapsed="false">
      <c r="A6" s="6" t="s">
        <v>11</v>
      </c>
      <c r="B6" s="6" t="s">
        <v>72</v>
      </c>
      <c r="C6" s="6" t="s">
        <v>73</v>
      </c>
    </row>
    <row r="7" customFormat="false" ht="15" hidden="false" customHeight="false" outlineLevel="0" collapsed="false">
      <c r="A7" s="6" t="s">
        <v>11</v>
      </c>
      <c r="B7" s="6" t="s">
        <v>74</v>
      </c>
      <c r="C7" s="6" t="s">
        <v>75</v>
      </c>
    </row>
    <row r="8" customFormat="false" ht="15" hidden="false" customHeight="false" outlineLevel="0" collapsed="false">
      <c r="A8" s="6" t="s">
        <v>11</v>
      </c>
      <c r="B8" s="6" t="s">
        <v>76</v>
      </c>
      <c r="C8" s="6" t="s">
        <v>77</v>
      </c>
    </row>
    <row r="9" customFormat="false" ht="15" hidden="false" customHeight="false" outlineLevel="0" collapsed="false">
      <c r="A9" s="6" t="s">
        <v>11</v>
      </c>
      <c r="B9" s="6" t="s">
        <v>78</v>
      </c>
      <c r="C9" s="6" t="s">
        <v>79</v>
      </c>
    </row>
    <row r="10" customFormat="false" ht="15" hidden="false" customHeight="false" outlineLevel="0" collapsed="false">
      <c r="A10" s="6" t="s">
        <v>19</v>
      </c>
      <c r="B10" s="6" t="s">
        <v>80</v>
      </c>
      <c r="C10" s="6" t="s">
        <v>81</v>
      </c>
    </row>
    <row r="11" customFormat="false" ht="15" hidden="false" customHeight="false" outlineLevel="0" collapsed="false">
      <c r="A11" s="6" t="s">
        <v>19</v>
      </c>
      <c r="B11" s="6" t="s">
        <v>66</v>
      </c>
      <c r="C11" s="6" t="s">
        <v>67</v>
      </c>
    </row>
    <row r="12" customFormat="false" ht="15" hidden="false" customHeight="false" outlineLevel="0" collapsed="false">
      <c r="A12" s="6" t="s">
        <v>19</v>
      </c>
      <c r="B12" s="6" t="s">
        <v>82</v>
      </c>
      <c r="C12" s="6" t="s">
        <v>83</v>
      </c>
    </row>
    <row r="13" customFormat="false" ht="15" hidden="false" customHeight="false" outlineLevel="0" collapsed="false">
      <c r="A13" s="6" t="s">
        <v>19</v>
      </c>
      <c r="B13" s="6" t="s">
        <v>84</v>
      </c>
      <c r="C13" s="6" t="s">
        <v>85</v>
      </c>
    </row>
    <row r="14" customFormat="false" ht="15" hidden="false" customHeight="false" outlineLevel="0" collapsed="false">
      <c r="A14" s="6" t="s">
        <v>19</v>
      </c>
      <c r="B14" s="6" t="s">
        <v>68</v>
      </c>
      <c r="C14" s="6" t="s">
        <v>69</v>
      </c>
    </row>
    <row r="15" customFormat="false" ht="15" hidden="false" customHeight="false" outlineLevel="0" collapsed="false">
      <c r="A15" s="6" t="s">
        <v>19</v>
      </c>
      <c r="B15" s="6" t="s">
        <v>70</v>
      </c>
      <c r="C15" s="6" t="s">
        <v>71</v>
      </c>
    </row>
    <row r="16" customFormat="false" ht="15" hidden="false" customHeight="false" outlineLevel="0" collapsed="false">
      <c r="A16" s="6" t="s">
        <v>19</v>
      </c>
      <c r="B16" s="6" t="s">
        <v>72</v>
      </c>
      <c r="C16" s="6" t="s">
        <v>73</v>
      </c>
    </row>
    <row r="17" customFormat="false" ht="15" hidden="false" customHeight="false" outlineLevel="0" collapsed="false">
      <c r="A17" s="6" t="s">
        <v>19</v>
      </c>
      <c r="B17" s="6" t="s">
        <v>74</v>
      </c>
      <c r="C17" s="6" t="s">
        <v>75</v>
      </c>
    </row>
    <row r="18" customFormat="false" ht="15" hidden="false" customHeight="false" outlineLevel="0" collapsed="false">
      <c r="A18" s="6" t="s">
        <v>19</v>
      </c>
      <c r="B18" s="6" t="s">
        <v>76</v>
      </c>
      <c r="C18" s="6" t="s">
        <v>77</v>
      </c>
    </row>
    <row r="19" customFormat="false" ht="15" hidden="false" customHeight="false" outlineLevel="0" collapsed="false">
      <c r="A19" s="6" t="s">
        <v>19</v>
      </c>
      <c r="B19" s="6" t="s">
        <v>78</v>
      </c>
      <c r="C19" s="6" t="s">
        <v>79</v>
      </c>
    </row>
    <row r="20" customFormat="false" ht="15" hidden="false" customHeight="false" outlineLevel="0" collapsed="false">
      <c r="A20" s="6" t="s">
        <v>48</v>
      </c>
      <c r="B20" s="6" t="s">
        <v>48</v>
      </c>
      <c r="C20" s="6" t="s">
        <v>86</v>
      </c>
    </row>
    <row r="21" customFormat="false" ht="15" hidden="false" customHeight="false" outlineLevel="0" collapsed="false">
      <c r="A21" s="6" t="s">
        <v>48</v>
      </c>
      <c r="B21" s="6" t="s">
        <v>87</v>
      </c>
      <c r="C21" s="6" t="s">
        <v>88</v>
      </c>
    </row>
    <row r="22" customFormat="false" ht="15" hidden="false" customHeight="false" outlineLevel="0" collapsed="false">
      <c r="A22" s="6" t="s">
        <v>48</v>
      </c>
      <c r="B22" s="6" t="s">
        <v>89</v>
      </c>
      <c r="C22" s="6" t="s">
        <v>88</v>
      </c>
    </row>
    <row r="23" customFormat="false" ht="15" hidden="false" customHeight="false" outlineLevel="0" collapsed="false">
      <c r="A23" s="6" t="s">
        <v>52</v>
      </c>
      <c r="B23" s="6" t="s">
        <v>52</v>
      </c>
      <c r="C23" s="6" t="s">
        <v>90</v>
      </c>
    </row>
    <row r="24" customFormat="false" ht="15" hidden="false" customHeight="false" outlineLevel="0" collapsed="false">
      <c r="A24" s="6" t="s">
        <v>52</v>
      </c>
      <c r="B24" s="6" t="s">
        <v>91</v>
      </c>
      <c r="C24" s="6" t="s">
        <v>92</v>
      </c>
    </row>
    <row r="25" customFormat="false" ht="15" hidden="false" customHeight="false" outlineLevel="0" collapsed="false">
      <c r="A25" s="6" t="s">
        <v>50</v>
      </c>
      <c r="B25" s="6" t="s">
        <v>50</v>
      </c>
      <c r="C25" s="6" t="s">
        <v>93</v>
      </c>
    </row>
    <row r="26" customFormat="false" ht="15" hidden="false" customHeight="false" outlineLevel="0" collapsed="false">
      <c r="A26" s="6" t="s">
        <v>50</v>
      </c>
      <c r="B26" s="6" t="s">
        <v>91</v>
      </c>
      <c r="C26" s="6" t="s">
        <v>94</v>
      </c>
    </row>
    <row r="27" customFormat="false" ht="15" hidden="false" customHeight="false" outlineLevel="0" collapsed="false">
      <c r="A27" s="6" t="s">
        <v>50</v>
      </c>
      <c r="B27" s="6" t="s">
        <v>95</v>
      </c>
      <c r="C27" s="6" t="s">
        <v>96</v>
      </c>
    </row>
    <row r="28" customFormat="false" ht="15" hidden="false" customHeight="false" outlineLevel="0" collapsed="false">
      <c r="A28" s="6" t="s">
        <v>97</v>
      </c>
      <c r="B28" s="6" t="s">
        <v>97</v>
      </c>
      <c r="C28" s="6" t="s">
        <v>98</v>
      </c>
    </row>
    <row r="29" customFormat="false" ht="15" hidden="false" customHeight="false" outlineLevel="0" collapsed="false">
      <c r="A29" s="6" t="s">
        <v>97</v>
      </c>
      <c r="B29" s="6" t="s">
        <v>99</v>
      </c>
      <c r="C29" s="6" t="s">
        <v>100</v>
      </c>
    </row>
    <row r="30" customFormat="false" ht="15" hidden="false" customHeight="false" outlineLevel="0" collapsed="false">
      <c r="A30" s="6" t="s">
        <v>101</v>
      </c>
      <c r="B30" s="6" t="s">
        <v>101</v>
      </c>
      <c r="C30" s="6" t="s">
        <v>98</v>
      </c>
    </row>
    <row r="31" customFormat="false" ht="15" hidden="false" customHeight="false" outlineLevel="0" collapsed="false">
      <c r="A31" s="6" t="s">
        <v>101</v>
      </c>
      <c r="B31" s="6" t="s">
        <v>99</v>
      </c>
      <c r="C31" s="6" t="s">
        <v>100</v>
      </c>
    </row>
    <row r="32" customFormat="false" ht="15" hidden="false" customHeight="false" outlineLevel="0" collapsed="false">
      <c r="A32" s="6" t="s">
        <v>102</v>
      </c>
      <c r="B32" s="6" t="s">
        <v>102</v>
      </c>
      <c r="C32" s="6" t="s">
        <v>98</v>
      </c>
    </row>
    <row r="33" customFormat="false" ht="15" hidden="false" customHeight="false" outlineLevel="0" collapsed="false">
      <c r="A33" s="6" t="s">
        <v>102</v>
      </c>
      <c r="B33" s="6" t="s">
        <v>99</v>
      </c>
      <c r="C33" s="6" t="s">
        <v>100</v>
      </c>
    </row>
    <row r="34" customFormat="false" ht="15" hidden="false" customHeight="false" outlineLevel="0" collapsed="false">
      <c r="A34" s="6" t="s">
        <v>103</v>
      </c>
      <c r="B34" s="6" t="s">
        <v>103</v>
      </c>
      <c r="C34" s="6" t="s">
        <v>104</v>
      </c>
    </row>
    <row r="35" customFormat="false" ht="15" hidden="false" customHeight="false" outlineLevel="0" collapsed="false">
      <c r="A35" s="6" t="s">
        <v>103</v>
      </c>
      <c r="B35" s="6" t="s">
        <v>66</v>
      </c>
      <c r="C35" s="6" t="s">
        <v>105</v>
      </c>
    </row>
    <row r="36" customFormat="false" ht="15" hidden="false" customHeight="false" outlineLevel="0" collapsed="false">
      <c r="A36" s="6" t="s">
        <v>106</v>
      </c>
      <c r="B36" s="6" t="s">
        <v>106</v>
      </c>
      <c r="C36" s="6" t="s">
        <v>107</v>
      </c>
    </row>
    <row r="37" customFormat="false" ht="15" hidden="false" customHeight="false" outlineLevel="0" collapsed="false">
      <c r="A37" s="6" t="s">
        <v>106</v>
      </c>
      <c r="B37" s="6" t="s">
        <v>108</v>
      </c>
      <c r="C37" s="6" t="s">
        <v>109</v>
      </c>
    </row>
    <row r="38" customFormat="false" ht="15" hidden="false" customHeight="false" outlineLevel="0" collapsed="false">
      <c r="A38" s="6" t="s">
        <v>110</v>
      </c>
      <c r="B38" s="6" t="s">
        <v>110</v>
      </c>
      <c r="C38" s="6" t="s">
        <v>107</v>
      </c>
    </row>
    <row r="39" customFormat="false" ht="15" hidden="false" customHeight="false" outlineLevel="0" collapsed="false">
      <c r="A39" s="6" t="s">
        <v>110</v>
      </c>
      <c r="B39" s="6" t="s">
        <v>108</v>
      </c>
      <c r="C39" s="6" t="s">
        <v>109</v>
      </c>
    </row>
    <row r="40" customFormat="false" ht="15" hidden="false" customHeight="false" outlineLevel="0" collapsed="false">
      <c r="A40" s="6" t="s">
        <v>111</v>
      </c>
      <c r="B40" s="6" t="s">
        <v>111</v>
      </c>
      <c r="C40" s="6" t="s">
        <v>112</v>
      </c>
    </row>
    <row r="41" customFormat="false" ht="15" hidden="false" customHeight="false" outlineLevel="0" collapsed="false">
      <c r="A41" s="6" t="s">
        <v>23</v>
      </c>
      <c r="B41" s="6" t="s">
        <v>23</v>
      </c>
      <c r="C41" s="6" t="s">
        <v>113</v>
      </c>
    </row>
    <row r="42" customFormat="false" ht="15" hidden="false" customHeight="false" outlineLevel="0" collapsed="false">
      <c r="A42" s="6" t="s">
        <v>23</v>
      </c>
      <c r="B42" s="6" t="s">
        <v>108</v>
      </c>
      <c r="C42" s="6" t="s">
        <v>109</v>
      </c>
    </row>
    <row r="43" customFormat="false" ht="15" hidden="false" customHeight="false" outlineLevel="0" collapsed="false">
      <c r="A43" s="6" t="s">
        <v>23</v>
      </c>
      <c r="B43" s="6" t="s">
        <v>72</v>
      </c>
      <c r="C43" s="6" t="s">
        <v>73</v>
      </c>
    </row>
    <row r="44" customFormat="false" ht="15" hidden="false" customHeight="false" outlineLevel="0" collapsed="false">
      <c r="A44" s="6" t="s">
        <v>23</v>
      </c>
      <c r="B44" s="6" t="s">
        <v>74</v>
      </c>
      <c r="C44" s="6" t="s">
        <v>75</v>
      </c>
    </row>
    <row r="45" customFormat="false" ht="15" hidden="false" customHeight="false" outlineLevel="0" collapsed="false">
      <c r="A45" s="6" t="s">
        <v>23</v>
      </c>
      <c r="B45" s="6" t="s">
        <v>78</v>
      </c>
      <c r="C45" s="6" t="s">
        <v>79</v>
      </c>
    </row>
    <row r="46" customFormat="false" ht="15" hidden="false" customHeight="false" outlineLevel="0" collapsed="false">
      <c r="A46" s="6" t="s">
        <v>23</v>
      </c>
      <c r="B46" s="6" t="s">
        <v>114</v>
      </c>
      <c r="C46" s="6" t="s">
        <v>115</v>
      </c>
    </row>
  </sheetData>
  <autoFilter ref="A1:C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2026-08-23T02:13:40Z</dcterms:created>
  <dc:creator>openpyxl</dc:creator>
  <dc:description/>
  <dc:language>en-US</dc:language>
  <cp:lastModifiedBy/>
  <dcterms:modified xsi:type="dcterms:W3CDTF">2026-08-23T02:13:40Z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